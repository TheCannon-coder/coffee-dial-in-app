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ffee Influencers" sheetId="1" state="visible" r:id="rId1"/>
    <sheet name="Commission Phase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AF7F2"/>
      <sz val="11"/>
    </font>
    <font>
      <b val="1"/>
      <sz val="10"/>
    </font>
    <font>
      <sz val="10"/>
    </font>
    <font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2C1A0E"/>
        <bgColor rgb="002C1A0E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ffeeInfluencers" displayName="CoffeeInfluencers" ref="A1:K31" headerRowCount="1">
  <autoFilter ref="A1:K31"/>
  <tableColumns count="11">
    <tableColumn id="1" name="Tier"/>
    <tableColumn id="2" name="Creator / Channel"/>
    <tableColumn id="3" name="Main Platform"/>
    <tableColumn id="4" name="Secondary Platform"/>
    <tableColumn id="5" name="Est. Followers (Main)"/>
    <tableColumn id="6" name="Content Focus"/>
    <tableColumn id="7" name="Espresso Fit?"/>
    <tableColumn id="8" name="URL / Handle"/>
    <tableColumn id="9" name="Notes"/>
    <tableColumn id="10" name="Outreach Status"/>
    <tableColumn id="11" name="Contact / Em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6" customWidth="1" min="3" max="3"/>
    <col width="20" customWidth="1" min="4" max="4"/>
    <col width="20" customWidth="1" min="5" max="5"/>
    <col width="34" customWidth="1" min="6" max="6"/>
    <col width="16" customWidth="1" min="7" max="7"/>
    <col width="36" customWidth="1" min="8" max="8"/>
    <col width="44" customWidth="1" min="9" max="9"/>
    <col width="18" customWidth="1" min="10" max="10"/>
    <col width="22" customWidth="1" min="11" max="11"/>
  </cols>
  <sheetData>
    <row r="1" ht="36" customHeight="1">
      <c r="A1" s="1" t="inlineStr">
        <is>
          <t>Tier</t>
        </is>
      </c>
      <c r="B1" s="1" t="inlineStr">
        <is>
          <t>Creator / Channel</t>
        </is>
      </c>
      <c r="C1" s="1" t="inlineStr">
        <is>
          <t>Main Platform</t>
        </is>
      </c>
      <c r="D1" s="1" t="inlineStr">
        <is>
          <t>Secondary Platform</t>
        </is>
      </c>
      <c r="E1" s="1" t="inlineStr">
        <is>
          <t>Est. Followers (Main)</t>
        </is>
      </c>
      <c r="F1" s="1" t="inlineStr">
        <is>
          <t>Content Focus</t>
        </is>
      </c>
      <c r="G1" s="1" t="inlineStr">
        <is>
          <t>Espresso Fit?</t>
        </is>
      </c>
      <c r="H1" s="1" t="inlineStr">
        <is>
          <t>URL / Handle</t>
        </is>
      </c>
      <c r="I1" s="1" t="inlineStr">
        <is>
          <t>Notes</t>
        </is>
      </c>
      <c r="J1" s="1" t="inlineStr">
        <is>
          <t>Outreach Status</t>
        </is>
      </c>
      <c r="K1" s="1" t="inlineStr">
        <is>
          <t>Contact / Email</t>
        </is>
      </c>
    </row>
    <row r="2" ht="30" customHeight="1">
      <c r="A2" s="2" t="inlineStr">
        <is>
          <t>Tier 1</t>
        </is>
      </c>
      <c r="B2" s="3" t="inlineStr">
        <is>
          <t>James Hoffmann</t>
        </is>
      </c>
      <c r="C2" s="4" t="inlineStr">
        <is>
          <t>YouTube</t>
        </is>
      </c>
      <c r="D2" s="5" t="inlineStr">
        <is>
          <t>Instagram / Patreon</t>
        </is>
      </c>
      <c r="E2" s="4" t="inlineStr">
        <is>
          <t>~2.2M</t>
        </is>
      </c>
      <c r="F2" s="5" t="inlineStr">
        <is>
          <t>Espresso science, brewing, gear reviews</t>
        </is>
      </c>
      <c r="G2" s="4" t="inlineStr">
        <is>
          <t>⭐⭐⭐ Perfect</t>
        </is>
      </c>
      <c r="H2" s="5" t="inlineStr">
        <is>
          <t>@james_hoffmann / youtube.com/@jameshoffmann</t>
        </is>
      </c>
      <c r="I2" s="5" t="inlineStr">
        <is>
          <t>The gold standard. Highly analytical audience — ideal fit for an AI coaching app.</t>
        </is>
      </c>
      <c r="J2" s="5" t="inlineStr">
        <is>
          <t>Not contacted</t>
        </is>
      </c>
      <c r="K2" s="5" t="inlineStr"/>
    </row>
    <row r="3" ht="30" customHeight="1">
      <c r="A3" s="2" t="inlineStr">
        <is>
          <t>Tier 1</t>
        </is>
      </c>
      <c r="B3" s="3" t="inlineStr">
        <is>
          <t>Lance Hedrick</t>
        </is>
      </c>
      <c r="C3" s="4" t="inlineStr">
        <is>
          <t>YouTube</t>
        </is>
      </c>
      <c r="D3" s="5" t="inlineStr">
        <is>
          <t>Instagram / Patreon</t>
        </is>
      </c>
      <c r="E3" s="4" t="inlineStr">
        <is>
          <t>~700k</t>
        </is>
      </c>
      <c r="F3" s="5" t="inlineStr">
        <is>
          <t>Home espresso, dialing in, equipment</t>
        </is>
      </c>
      <c r="G3" s="4" t="inlineStr">
        <is>
          <t>⭐⭐⭐ Perfect</t>
        </is>
      </c>
      <c r="H3" s="5" t="inlineStr">
        <is>
          <t>@lancehedrick / youtube.com/@LanceHedrick</t>
        </is>
      </c>
      <c r="I3" s="5" t="inlineStr">
        <is>
          <t>Espresso-first channel. Audience obsesses over extraction — direct product match.</t>
        </is>
      </c>
      <c r="J3" s="5" t="inlineStr">
        <is>
          <t>Not contacted</t>
        </is>
      </c>
      <c r="K3" s="5" t="inlineStr"/>
    </row>
    <row r="4" ht="30" customHeight="1">
      <c r="A4" s="2" t="inlineStr">
        <is>
          <t>Tier 1</t>
        </is>
      </c>
      <c r="B4" s="3" t="inlineStr">
        <is>
          <t>Whole Latte Love</t>
        </is>
      </c>
      <c r="C4" s="4" t="inlineStr">
        <is>
          <t>YouTube</t>
        </is>
      </c>
      <c r="D4" s="5" t="inlineStr">
        <is>
          <t>Instagram</t>
        </is>
      </c>
      <c r="E4" s="4" t="inlineStr">
        <is>
          <t>~600k</t>
        </is>
      </c>
      <c r="F4" s="5" t="inlineStr">
        <is>
          <t>Equipment reviews, tutorials, buying guides</t>
        </is>
      </c>
      <c r="G4" s="4" t="inlineStr">
        <is>
          <t>⭐⭐ Strong</t>
        </is>
      </c>
      <c r="H4" s="5" t="inlineStr">
        <is>
          <t>youtube.com/@WholeLatteLove</t>
        </is>
      </c>
      <c r="I4" s="5" t="inlineStr">
        <is>
          <t>Commercial channel with large beginner-to-intermediate audience.</t>
        </is>
      </c>
      <c r="J4" s="5" t="inlineStr">
        <is>
          <t>Not contacted</t>
        </is>
      </c>
      <c r="K4" s="5" t="inlineStr"/>
    </row>
    <row r="5" ht="30" customHeight="1">
      <c r="A5" s="2" t="inlineStr">
        <is>
          <t>Tier 1</t>
        </is>
      </c>
      <c r="B5" s="3" t="inlineStr">
        <is>
          <t>European Coffee Trip</t>
        </is>
      </c>
      <c r="C5" s="4" t="inlineStr">
        <is>
          <t>YouTube</t>
        </is>
      </c>
      <c r="D5" s="5" t="inlineStr">
        <is>
          <t>Instagram</t>
        </is>
      </c>
      <c r="E5" s="4" t="inlineStr">
        <is>
          <t>~500k</t>
        </is>
      </c>
      <c r="F5" s="5" t="inlineStr">
        <is>
          <t>Specialty cafe culture, origin travel, roasters</t>
        </is>
      </c>
      <c r="G5" s="4" t="inlineStr">
        <is>
          <t>⭐ Moderate</t>
        </is>
      </c>
      <c r="H5" s="5" t="inlineStr">
        <is>
          <t>@europeancoffeetrip / youtube.com/@EuropeanCoffeeTrip</t>
        </is>
      </c>
      <c r="I5" s="5" t="inlineStr">
        <is>
          <t>More cafe/origin focus than home brewing; still reaches passionate enthusiasts.</t>
        </is>
      </c>
      <c r="J5" s="5" t="inlineStr">
        <is>
          <t>Not contacted</t>
        </is>
      </c>
      <c r="K5" s="5" t="inlineStr"/>
    </row>
    <row r="6" ht="30" customHeight="1">
      <c r="A6" s="2" t="inlineStr">
        <is>
          <t>Tier 1</t>
        </is>
      </c>
      <c r="B6" s="3" t="inlineStr">
        <is>
          <t>Ethan Chlebowski</t>
        </is>
      </c>
      <c r="C6" s="4" t="inlineStr">
        <is>
          <t>YouTube</t>
        </is>
      </c>
      <c r="D6" s="5" t="inlineStr">
        <is>
          <t>Instagram</t>
        </is>
      </c>
      <c r="E6" s="4" t="inlineStr">
        <is>
          <t>~1.4M</t>
        </is>
      </c>
      <c r="F6" s="5" t="inlineStr">
        <is>
          <t>Food science &amp; coffee (25% coffee content)</t>
        </is>
      </c>
      <c r="G6" s="4" t="inlineStr">
        <is>
          <t>⭐⭐ Strong</t>
        </is>
      </c>
      <c r="H6" s="5" t="inlineStr">
        <is>
          <t>@ethanchlebowski / youtube.com/@EthanChlebowski</t>
        </is>
      </c>
      <c r="I6" s="5" t="inlineStr">
        <is>
          <t>Large crossover audience of analytical food+coffee people. Not coffee-exclusive.</t>
        </is>
      </c>
      <c r="J6" s="5" t="inlineStr">
        <is>
          <t>Not contacted</t>
        </is>
      </c>
      <c r="K6" s="5" t="inlineStr"/>
    </row>
    <row r="7" ht="30" customHeight="1">
      <c r="A7" s="2" t="inlineStr">
        <is>
          <t>Tier 1</t>
        </is>
      </c>
      <c r="B7" s="3" t="inlineStr">
        <is>
          <t>Sprometheus</t>
        </is>
      </c>
      <c r="C7" s="4" t="inlineStr">
        <is>
          <t>YouTube</t>
        </is>
      </c>
      <c r="D7" s="5" t="inlineStr">
        <is>
          <t>Instagram</t>
        </is>
      </c>
      <c r="E7" s="4" t="inlineStr">
        <is>
          <t>~300k</t>
        </is>
      </c>
      <c r="F7" s="5" t="inlineStr">
        <is>
          <t>Home espresso, grinder reviews, dialling in</t>
        </is>
      </c>
      <c r="G7" s="4" t="inlineStr">
        <is>
          <t>⭐⭐⭐ Perfect</t>
        </is>
      </c>
      <c r="H7" s="5" t="inlineStr">
        <is>
          <t>@sprometheus / youtube.com/@Sprometheus</t>
        </is>
      </c>
      <c r="I7" s="5" t="inlineStr">
        <is>
          <t>Extremely technical espresso focus. Audience will immediately understand the app.</t>
        </is>
      </c>
      <c r="J7" s="5" t="inlineStr">
        <is>
          <t>Not contacted</t>
        </is>
      </c>
      <c r="K7" s="5" t="inlineStr"/>
    </row>
    <row r="8" ht="30" customHeight="1">
      <c r="A8" s="6" t="inlineStr">
        <is>
          <t>Tier 2</t>
        </is>
      </c>
      <c r="B8" s="7" t="inlineStr">
        <is>
          <t>Priceless Coffee</t>
        </is>
      </c>
      <c r="C8" s="8" t="inlineStr">
        <is>
          <t>YouTube</t>
        </is>
      </c>
      <c r="D8" s="9" t="inlineStr">
        <is>
          <t>Instagram</t>
        </is>
      </c>
      <c r="E8" s="8" t="inlineStr">
        <is>
          <t>~200k</t>
        </is>
      </c>
      <c r="F8" s="9" t="inlineStr">
        <is>
          <t>Home espresso, extraction theory, comparisons</t>
        </is>
      </c>
      <c r="G8" s="8" t="inlineStr">
        <is>
          <t>⭐⭐⭐ Perfect</t>
        </is>
      </c>
      <c r="H8" s="9" t="inlineStr">
        <is>
          <t>youtube.com/@PricelessCoffee</t>
        </is>
      </c>
      <c r="I8" s="9" t="inlineStr">
        <is>
          <t>Deep extraction content. Niche but passionate audience.</t>
        </is>
      </c>
      <c r="J8" s="9" t="inlineStr">
        <is>
          <t>Not contacted</t>
        </is>
      </c>
      <c r="K8" s="9" t="inlineStr"/>
    </row>
    <row r="9" ht="30" customHeight="1">
      <c r="A9" s="6" t="inlineStr">
        <is>
          <t>Tier 2</t>
        </is>
      </c>
      <c r="B9" s="7" t="inlineStr">
        <is>
          <t>Morgan Drinks Coffee</t>
        </is>
      </c>
      <c r="C9" s="8" t="inlineStr">
        <is>
          <t>YouTube</t>
        </is>
      </c>
      <c r="D9" s="9" t="inlineStr">
        <is>
          <t>Instagram</t>
        </is>
      </c>
      <c r="E9" s="8" t="inlineStr">
        <is>
          <t>~150k</t>
        </is>
      </c>
      <c r="F9" s="9" t="inlineStr">
        <is>
          <t>Coffee tasting, flavor notes, specialty</t>
        </is>
      </c>
      <c r="G9" s="8" t="inlineStr">
        <is>
          <t>⭐⭐ Strong</t>
        </is>
      </c>
      <c r="H9" s="9" t="inlineStr">
        <is>
          <t>@morgandrinkscoffee</t>
        </is>
      </c>
      <c r="I9" s="9" t="inlineStr">
        <is>
          <t>Flavor-forward content aligns well with tasting-based coaching.</t>
        </is>
      </c>
      <c r="J9" s="9" t="inlineStr">
        <is>
          <t>Not contacted</t>
        </is>
      </c>
      <c r="K9" s="9" t="inlineStr"/>
    </row>
    <row r="10" ht="30" customHeight="1">
      <c r="A10" s="6" t="inlineStr">
        <is>
          <t>Tier 2</t>
        </is>
      </c>
      <c r="B10" s="7" t="inlineStr">
        <is>
          <t>Scott Rao</t>
        </is>
      </c>
      <c r="C10" s="8" t="inlineStr">
        <is>
          <t>Instagram</t>
        </is>
      </c>
      <c r="D10" s="9" t="inlineStr">
        <is>
          <t>Newsletter</t>
        </is>
      </c>
      <c r="E10" s="8" t="inlineStr">
        <is>
          <t>~130k</t>
        </is>
      </c>
      <c r="F10" s="9" t="inlineStr">
        <is>
          <t>Coffee professional education, espresso research</t>
        </is>
      </c>
      <c r="G10" s="8" t="inlineStr">
        <is>
          <t>⭐⭐⭐ Perfect</t>
        </is>
      </c>
      <c r="H10" s="9" t="inlineStr">
        <is>
          <t>@scottrao / scottrao.com</t>
        </is>
      </c>
      <c r="I10" s="9" t="inlineStr">
        <is>
          <t>High authority in espresso science. Audience skews professional/prosumer.</t>
        </is>
      </c>
      <c r="J10" s="9" t="inlineStr">
        <is>
          <t>Not contacted</t>
        </is>
      </c>
      <c r="K10" s="9" t="inlineStr"/>
    </row>
    <row r="11" ht="30" customHeight="1">
      <c r="A11" s="6" t="inlineStr">
        <is>
          <t>Tier 2</t>
        </is>
      </c>
      <c r="B11" s="7" t="inlineStr">
        <is>
          <t>Matt Perger / Barista Hustle</t>
        </is>
      </c>
      <c r="C11" s="8" t="inlineStr">
        <is>
          <t>Instagram</t>
        </is>
      </c>
      <c r="D11" s="9" t="inlineStr">
        <is>
          <t>Web / Newsletter</t>
        </is>
      </c>
      <c r="E11" s="8" t="inlineStr">
        <is>
          <t>~120k</t>
        </is>
      </c>
      <c r="F11" s="9" t="inlineStr">
        <is>
          <t>Barista training, extraction science</t>
        </is>
      </c>
      <c r="G11" s="8" t="inlineStr">
        <is>
          <t>⭐⭐⭐ Perfect</t>
        </is>
      </c>
      <c r="H11" s="9" t="inlineStr">
        <is>
          <t>@mattperger / baristahustle.com</t>
        </is>
      </c>
      <c r="I11" s="9" t="inlineStr">
        <is>
          <t>Professional-grade content. Partnering with Barista Hustle could be a channel deal.</t>
        </is>
      </c>
      <c r="J11" s="9" t="inlineStr">
        <is>
          <t>Not contacted</t>
        </is>
      </c>
      <c r="K11" s="9" t="inlineStr"/>
    </row>
    <row r="12" ht="30" customHeight="1">
      <c r="A12" s="6" t="inlineStr">
        <is>
          <t>Tier 2</t>
        </is>
      </c>
      <c r="B12" s="7" t="inlineStr">
        <is>
          <t>Onyx Coffee Lab</t>
        </is>
      </c>
      <c r="C12" s="8" t="inlineStr">
        <is>
          <t>Instagram</t>
        </is>
      </c>
      <c r="D12" s="9" t="inlineStr">
        <is>
          <t>YouTube</t>
        </is>
      </c>
      <c r="E12" s="8" t="inlineStr">
        <is>
          <t>~200k</t>
        </is>
      </c>
      <c r="F12" s="9" t="inlineStr">
        <is>
          <t>Specialty roaster, brewing education</t>
        </is>
      </c>
      <c r="G12" s="8" t="inlineStr">
        <is>
          <t>⭐⭐ Strong</t>
        </is>
      </c>
      <c r="H12" s="9" t="inlineStr">
        <is>
          <t>@onyxcoffeelab</t>
        </is>
      </c>
      <c r="I12" s="9" t="inlineStr">
        <is>
          <t>Brand account but produces high-quality educational content. Potential partnership.</t>
        </is>
      </c>
      <c r="J12" s="9" t="inlineStr">
        <is>
          <t>Not contacted</t>
        </is>
      </c>
      <c r="K12" s="9" t="inlineStr"/>
    </row>
    <row r="13" ht="30" customHeight="1">
      <c r="A13" s="6" t="inlineStr">
        <is>
          <t>Tier 2</t>
        </is>
      </c>
      <c r="B13" s="7" t="inlineStr">
        <is>
          <t>Tom's Kitchen (coffee)</t>
        </is>
      </c>
      <c r="C13" s="8" t="inlineStr">
        <is>
          <t>YouTube</t>
        </is>
      </c>
      <c r="D13" s="9" t="inlineStr">
        <is>
          <t>Instagram</t>
        </is>
      </c>
      <c r="E13" s="8" t="inlineStr">
        <is>
          <t>~180k</t>
        </is>
      </c>
      <c r="F13" s="9" t="inlineStr">
        <is>
          <t>Home brewing, coffee recipes, gear</t>
        </is>
      </c>
      <c r="G13" s="8" t="inlineStr">
        <is>
          <t>⭐⭐ Strong</t>
        </is>
      </c>
      <c r="H13" s="9" t="inlineStr">
        <is>
          <t>youtube.com/@TomsCoffeeCorner</t>
        </is>
      </c>
      <c r="I13" s="9" t="inlineStr">
        <is>
          <t>Approachable style — good for reaching non-technical but passionate home brewers.</t>
        </is>
      </c>
      <c r="J13" s="9" t="inlineStr">
        <is>
          <t>Not contacted</t>
        </is>
      </c>
      <c r="K13" s="9" t="inlineStr"/>
    </row>
    <row r="14" ht="30" customHeight="1">
      <c r="A14" s="6" t="inlineStr">
        <is>
          <t>Tier 2</t>
        </is>
      </c>
      <c r="B14" s="7" t="inlineStr">
        <is>
          <t>Koffee Kult</t>
        </is>
      </c>
      <c r="C14" s="8" t="inlineStr">
        <is>
          <t>Instagram</t>
        </is>
      </c>
      <c r="D14" s="9" t="inlineStr">
        <is>
          <t>YouTube</t>
        </is>
      </c>
      <c r="E14" s="8" t="inlineStr">
        <is>
          <t>~100k</t>
        </is>
      </c>
      <c r="F14" s="9" t="inlineStr">
        <is>
          <t>Specialty roasting, community</t>
        </is>
      </c>
      <c r="G14" s="8" t="inlineStr">
        <is>
          <t>⭐ Moderate</t>
        </is>
      </c>
      <c r="H14" s="9" t="inlineStr">
        <is>
          <t>@koffeekult</t>
        </is>
      </c>
      <c r="I14" s="9" t="inlineStr">
        <is>
          <t>Roaster brand. Audience overlap moderate.</t>
        </is>
      </c>
      <c r="J14" s="9" t="inlineStr">
        <is>
          <t>Not contacted</t>
        </is>
      </c>
      <c r="K14" s="9" t="inlineStr"/>
    </row>
    <row r="15" ht="30" customHeight="1">
      <c r="A15" s="6" t="inlineStr">
        <is>
          <t>Tier 2</t>
        </is>
      </c>
      <c r="B15" s="7" t="inlineStr">
        <is>
          <t>The Coffee Chronicler</t>
        </is>
      </c>
      <c r="C15" s="8" t="inlineStr">
        <is>
          <t>YouTube</t>
        </is>
      </c>
      <c r="D15" s="9" t="inlineStr">
        <is>
          <t>Instagram</t>
        </is>
      </c>
      <c r="E15" s="8" t="inlineStr">
        <is>
          <t>~90k</t>
        </is>
      </c>
      <c r="F15" s="9" t="inlineStr">
        <is>
          <t>Origin, processing, specialty education</t>
        </is>
      </c>
      <c r="G15" s="8" t="inlineStr">
        <is>
          <t>⭐ Moderate</t>
        </is>
      </c>
      <c r="H15" s="9" t="inlineStr">
        <is>
          <t>@coffeechronicler / youtube.com/@TheCoffeeChronicler</t>
        </is>
      </c>
      <c r="I15" s="9" t="inlineStr">
        <is>
          <t>Origin-focused. Less espresso-specific but high-quality audience.</t>
        </is>
      </c>
      <c r="J15" s="9" t="inlineStr">
        <is>
          <t>Not contacted</t>
        </is>
      </c>
      <c r="K15" s="9" t="inlineStr"/>
    </row>
    <row r="16" ht="30" customHeight="1">
      <c r="A16" s="6" t="inlineStr">
        <is>
          <t>Tier 2</t>
        </is>
      </c>
      <c r="B16" s="7" t="inlineStr">
        <is>
          <t>Tim Wendelboe</t>
        </is>
      </c>
      <c r="C16" s="8" t="inlineStr">
        <is>
          <t>Instagram</t>
        </is>
      </c>
      <c r="D16" s="9" t="inlineStr">
        <is>
          <t>YouTube</t>
        </is>
      </c>
      <c r="E16" s="8" t="inlineStr">
        <is>
          <t>~80k</t>
        </is>
      </c>
      <c r="F16" s="9" t="inlineStr">
        <is>
          <t>Pro barista, espresso, origin</t>
        </is>
      </c>
      <c r="G16" s="8" t="inlineStr">
        <is>
          <t>⭐⭐⭐ Perfect</t>
        </is>
      </c>
      <c r="H16" s="9" t="inlineStr">
        <is>
          <t>@timwendelboe</t>
        </is>
      </c>
      <c r="I16" s="9" t="inlineStr">
        <is>
          <t>World Champion Barista. High authority, smaller but elite audience.</t>
        </is>
      </c>
      <c r="J16" s="9" t="inlineStr">
        <is>
          <t>Not contacted</t>
        </is>
      </c>
      <c r="K16" s="9" t="inlineStr"/>
    </row>
    <row r="17" ht="30" customHeight="1">
      <c r="A17" s="6" t="inlineStr">
        <is>
          <t>Tier 2</t>
        </is>
      </c>
      <c r="B17" s="7" t="inlineStr">
        <is>
          <t>Seattle Coffee Gear</t>
        </is>
      </c>
      <c r="C17" s="8" t="inlineStr">
        <is>
          <t>YouTube</t>
        </is>
      </c>
      <c r="D17" s="9" t="inlineStr">
        <is>
          <t>Instagram</t>
        </is>
      </c>
      <c r="E17" s="8" t="inlineStr">
        <is>
          <t>~400k</t>
        </is>
      </c>
      <c r="F17" s="9" t="inlineStr">
        <is>
          <t>Equipment reviews, tutorials</t>
        </is>
      </c>
      <c r="G17" s="8" t="inlineStr">
        <is>
          <t>⭐⭐ Strong</t>
        </is>
      </c>
      <c r="H17" s="9" t="inlineStr">
        <is>
          <t>youtube.com/@SeattleCoffeeGear</t>
        </is>
      </c>
      <c r="I17" s="9" t="inlineStr">
        <is>
          <t>Now part of Whole Latte Love group. Large beginner audience.</t>
        </is>
      </c>
      <c r="J17" s="9" t="inlineStr">
        <is>
          <t>Not contacted</t>
        </is>
      </c>
      <c r="K17" s="9" t="inlineStr"/>
    </row>
    <row r="18" ht="30" customHeight="1">
      <c r="A18" s="6" t="inlineStr">
        <is>
          <t>Tier 2</t>
        </is>
      </c>
      <c r="B18" s="7" t="inlineStr">
        <is>
          <t>Wogan Coffee</t>
        </is>
      </c>
      <c r="C18" s="8" t="inlineStr">
        <is>
          <t>YouTube</t>
        </is>
      </c>
      <c r="D18" s="9" t="inlineStr">
        <is>
          <t>Instagram</t>
        </is>
      </c>
      <c r="E18" s="8" t="inlineStr">
        <is>
          <t>~80k</t>
        </is>
      </c>
      <c r="F18" s="9" t="inlineStr">
        <is>
          <t>UK specialty, roasting, brewing</t>
        </is>
      </c>
      <c r="G18" s="8" t="inlineStr">
        <is>
          <t>⭐⭐ Strong</t>
        </is>
      </c>
      <c r="H18" s="9" t="inlineStr">
        <is>
          <t>@wogancoffee</t>
        </is>
      </c>
      <c r="I18" s="9" t="inlineStr">
        <is>
          <t>UK market — worth targeting for European growth.</t>
        </is>
      </c>
      <c r="J18" s="9" t="inlineStr">
        <is>
          <t>Not contacted</t>
        </is>
      </c>
      <c r="K18" s="9" t="inlineStr"/>
    </row>
    <row r="19" ht="30" customHeight="1">
      <c r="A19" s="6" t="inlineStr">
        <is>
          <t>Tier 2</t>
        </is>
      </c>
      <c r="B19" s="7" t="inlineStr">
        <is>
          <t>Coffee with April</t>
        </is>
      </c>
      <c r="C19" s="8" t="inlineStr">
        <is>
          <t>YouTube</t>
        </is>
      </c>
      <c r="D19" s="9" t="inlineStr">
        <is>
          <t>Instagram</t>
        </is>
      </c>
      <c r="E19" s="8" t="inlineStr">
        <is>
          <t>~70k</t>
        </is>
      </c>
      <c r="F19" s="9" t="inlineStr">
        <is>
          <t>WBC competitor, extraction education</t>
        </is>
      </c>
      <c r="G19" s="8" t="inlineStr">
        <is>
          <t>⭐⭐⭐ Perfect</t>
        </is>
      </c>
      <c r="H19" s="9" t="inlineStr">
        <is>
          <t>@coffeewithapril / youtube.com/@CoffeeWithApril</t>
        </is>
      </c>
      <c r="I19" s="9" t="inlineStr">
        <is>
          <t>World Brewers Cup champion. Highly technical, trusted voice.</t>
        </is>
      </c>
      <c r="J19" s="9" t="inlineStr">
        <is>
          <t>Not contacted</t>
        </is>
      </c>
      <c r="K19" s="9" t="inlineStr"/>
    </row>
    <row r="20" ht="30" customHeight="1">
      <c r="A20" s="6" t="inlineStr">
        <is>
          <t>Tier 2</t>
        </is>
      </c>
      <c r="B20" s="7" t="inlineStr">
        <is>
          <t>Mitch Hides Coffee (Artisti Coffee)</t>
        </is>
      </c>
      <c r="C20" s="8" t="inlineStr">
        <is>
          <t>YouTube</t>
        </is>
      </c>
      <c r="D20" s="9" t="inlineStr">
        <is>
          <t>Instagram</t>
        </is>
      </c>
      <c r="E20" s="8" t="inlineStr">
        <is>
          <t>~250k</t>
        </is>
      </c>
      <c r="F20" s="9" t="inlineStr">
        <is>
          <t>Latte art, home barista, espresso</t>
        </is>
      </c>
      <c r="G20" s="8" t="inlineStr">
        <is>
          <t>⭐⭐ Strong</t>
        </is>
      </c>
      <c r="H20" s="9" t="inlineStr">
        <is>
          <t>youtube.com/@ArtistiCoffeeRoasters</t>
        </is>
      </c>
      <c r="I20" s="9" t="inlineStr">
        <is>
          <t>Australian audience. Latte art focus but covers espresso dialling in.</t>
        </is>
      </c>
      <c r="J20" s="9" t="inlineStr">
        <is>
          <t>Not contacted</t>
        </is>
      </c>
      <c r="K20" s="9" t="inlineStr"/>
    </row>
    <row r="21" ht="30" customHeight="1">
      <c r="A21" s="10" t="inlineStr">
        <is>
          <t>Tier 3</t>
        </is>
      </c>
      <c r="B21" s="11" t="inlineStr">
        <is>
          <t>Caffeine &amp; Kilos</t>
        </is>
      </c>
      <c r="C21" s="12" t="inlineStr">
        <is>
          <t>Instagram</t>
        </is>
      </c>
      <c r="D21" s="13" t="inlineStr"/>
      <c r="E21" s="12" t="inlineStr">
        <is>
          <t>~40k</t>
        </is>
      </c>
      <c r="F21" s="13" t="inlineStr">
        <is>
          <t>Coffee + fitness crossover</t>
        </is>
      </c>
      <c r="G21" s="12" t="inlineStr">
        <is>
          <t>⭐ Moderate</t>
        </is>
      </c>
      <c r="H21" s="13" t="inlineStr">
        <is>
          <t>@caffeineandkilos</t>
        </is>
      </c>
      <c r="I21" s="13" t="inlineStr">
        <is>
          <t>Unique crossover niche. Less espresso-specific.</t>
        </is>
      </c>
      <c r="J21" s="13" t="inlineStr">
        <is>
          <t>Not contacted</t>
        </is>
      </c>
      <c r="K21" s="13" t="inlineStr"/>
    </row>
    <row r="22" ht="30" customHeight="1">
      <c r="A22" s="10" t="inlineStr">
        <is>
          <t>Tier 3</t>
        </is>
      </c>
      <c r="B22" s="11" t="inlineStr">
        <is>
          <t>The Real Sprometheus (shorts)</t>
        </is>
      </c>
      <c r="C22" s="12" t="inlineStr">
        <is>
          <t>YouTube Shorts</t>
        </is>
      </c>
      <c r="D22" s="13" t="inlineStr"/>
      <c r="E22" s="12" t="inlineStr">
        <is>
          <t>~35k</t>
        </is>
      </c>
      <c r="F22" s="13" t="inlineStr">
        <is>
          <t>Quick espresso tips</t>
        </is>
      </c>
      <c r="G22" s="12" t="inlineStr">
        <is>
          <t>⭐⭐⭐ Perfect</t>
        </is>
      </c>
      <c r="H22" s="13" t="inlineStr">
        <is>
          <t>youtube.com/@SprometheusShorts</t>
        </is>
      </c>
      <c r="I22" s="13" t="inlineStr">
        <is>
          <t>Short-form espresso content — good for app install traffic.</t>
        </is>
      </c>
      <c r="J22" s="13" t="inlineStr">
        <is>
          <t>Not contacted</t>
        </is>
      </c>
      <c r="K22" s="13" t="inlineStr"/>
    </row>
    <row r="23" ht="30" customHeight="1">
      <c r="A23" s="10" t="inlineStr">
        <is>
          <t>Tier 3</t>
        </is>
      </c>
      <c r="B23" s="11" t="inlineStr">
        <is>
          <t>Home Barista Forum</t>
        </is>
      </c>
      <c r="C23" s="12" t="inlineStr">
        <is>
          <t>Web / Reddit</t>
        </is>
      </c>
      <c r="D23" s="13" t="inlineStr">
        <is>
          <t>YouTube</t>
        </is>
      </c>
      <c r="E23" s="12" t="inlineStr">
        <is>
          <t>~30k YT</t>
        </is>
      </c>
      <c r="F23" s="13" t="inlineStr">
        <is>
          <t>Home espresso community</t>
        </is>
      </c>
      <c r="G23" s="12" t="inlineStr">
        <is>
          <t>⭐⭐⭐ Perfect</t>
        </is>
      </c>
      <c r="H23" s="13" t="inlineStr">
        <is>
          <t>reddit.com/r/espresso / homebarista.com</t>
        </is>
      </c>
      <c r="I23" s="13" t="inlineStr">
        <is>
          <t>Community rather than creator. Moderator partnership could be very effective.</t>
        </is>
      </c>
      <c r="J23" s="13" t="inlineStr">
        <is>
          <t>Not contacted</t>
        </is>
      </c>
      <c r="K23" s="13" t="inlineStr"/>
    </row>
    <row r="24" ht="30" customHeight="1">
      <c r="A24" s="10" t="inlineStr">
        <is>
          <t>Tier 3</t>
        </is>
      </c>
      <c r="B24" s="11" t="inlineStr">
        <is>
          <t>Ken Selby Coffee</t>
        </is>
      </c>
      <c r="C24" s="12" t="inlineStr">
        <is>
          <t>YouTube</t>
        </is>
      </c>
      <c r="D24" s="13" t="inlineStr">
        <is>
          <t>Instagram</t>
        </is>
      </c>
      <c r="E24" s="12" t="inlineStr">
        <is>
          <t>~25k</t>
        </is>
      </c>
      <c r="F24" s="13" t="inlineStr">
        <is>
          <t>Espresso recipes, gear</t>
        </is>
      </c>
      <c r="G24" s="12" t="inlineStr">
        <is>
          <t>⭐⭐ Strong</t>
        </is>
      </c>
      <c r="H24" s="13" t="inlineStr">
        <is>
          <t>youtube.com/@KenSelbyCoffee</t>
        </is>
      </c>
      <c r="I24" s="13" t="inlineStr">
        <is>
          <t>Growing channel with engaged espresso audience.</t>
        </is>
      </c>
      <c r="J24" s="13" t="inlineStr">
        <is>
          <t>Not contacted</t>
        </is>
      </c>
      <c r="K24" s="13" t="inlineStr"/>
    </row>
    <row r="25" ht="30" customHeight="1">
      <c r="A25" s="10" t="inlineStr">
        <is>
          <t>Tier 3</t>
        </is>
      </c>
      <c r="B25" s="11" t="inlineStr">
        <is>
          <t>Proud Mary Coffee</t>
        </is>
      </c>
      <c r="C25" s="12" t="inlineStr">
        <is>
          <t>Instagram</t>
        </is>
      </c>
      <c r="D25" s="13" t="inlineStr">
        <is>
          <t>YouTube</t>
        </is>
      </c>
      <c r="E25" s="12" t="inlineStr">
        <is>
          <t>~40k</t>
        </is>
      </c>
      <c r="F25" s="13" t="inlineStr">
        <is>
          <t>Specialty roaster, Melbourne-based</t>
        </is>
      </c>
      <c r="G25" s="12" t="inlineStr">
        <is>
          <t>⭐⭐ Strong</t>
        </is>
      </c>
      <c r="H25" s="13" t="inlineStr">
        <is>
          <t>@proudmarycoffee</t>
        </is>
      </c>
      <c r="I25" s="13" t="inlineStr">
        <is>
          <t>Strong brand following. Australian/US presence.</t>
        </is>
      </c>
      <c r="J25" s="13" t="inlineStr">
        <is>
          <t>Not contacted</t>
        </is>
      </c>
      <c r="K25" s="13" t="inlineStr"/>
    </row>
    <row r="26" ht="30" customHeight="1">
      <c r="A26" s="10" t="inlineStr">
        <is>
          <t>Tier 3</t>
        </is>
      </c>
      <c r="B26" s="11" t="inlineStr">
        <is>
          <t>Cometeer Coffee</t>
        </is>
      </c>
      <c r="C26" s="12" t="inlineStr">
        <is>
          <t>Instagram</t>
        </is>
      </c>
      <c r="D26" s="13" t="inlineStr">
        <is>
          <t>TikTok</t>
        </is>
      </c>
      <c r="E26" s="12" t="inlineStr">
        <is>
          <t>~35k</t>
        </is>
      </c>
      <c r="F26" s="13" t="inlineStr">
        <is>
          <t>Specialty coffee brand</t>
        </is>
      </c>
      <c r="G26" s="12" t="inlineStr">
        <is>
          <t>⭐ Moderate</t>
        </is>
      </c>
      <c r="H26" s="13" t="inlineStr">
        <is>
          <t>@cometeercoffee</t>
        </is>
      </c>
      <c r="I26" s="13" t="inlineStr">
        <is>
          <t>Brand account. Audience crossover possible.</t>
        </is>
      </c>
      <c r="J26" s="13" t="inlineStr">
        <is>
          <t>Not contacted</t>
        </is>
      </c>
      <c r="K26" s="13" t="inlineStr"/>
    </row>
    <row r="27" ht="30" customHeight="1">
      <c r="A27" s="10" t="inlineStr">
        <is>
          <t>Tier 3</t>
        </is>
      </c>
      <c r="B27" s="11" t="inlineStr">
        <is>
          <t>The Wired Gourmet</t>
        </is>
      </c>
      <c r="C27" s="12" t="inlineStr">
        <is>
          <t>YouTube</t>
        </is>
      </c>
      <c r="D27" s="13" t="inlineStr"/>
      <c r="E27" s="12" t="inlineStr">
        <is>
          <t>~20k</t>
        </is>
      </c>
      <c r="F27" s="13" t="inlineStr">
        <is>
          <t>Home espresso reviews, budget gear</t>
        </is>
      </c>
      <c r="G27" s="12" t="inlineStr">
        <is>
          <t>⭐⭐ Strong</t>
        </is>
      </c>
      <c r="H27" s="13" t="inlineStr">
        <is>
          <t>youtube.com/@TheWiredGourmet</t>
        </is>
      </c>
      <c r="I27" s="13" t="inlineStr">
        <is>
          <t>Budget-conscious espresso audience — strong fit for accessibility messaging.</t>
        </is>
      </c>
      <c r="J27" s="13" t="inlineStr">
        <is>
          <t>Not contacted</t>
        </is>
      </c>
      <c r="K27" s="13" t="inlineStr"/>
    </row>
    <row r="28" ht="30" customHeight="1">
      <c r="A28" s="10" t="inlineStr">
        <is>
          <t>Tier 3</t>
        </is>
      </c>
      <c r="B28" s="11" t="inlineStr">
        <is>
          <t>Jonathan Gagne (Science of Coffee)</t>
        </is>
      </c>
      <c r="C28" s="12" t="inlineStr">
        <is>
          <t>Newsletter / Twitter</t>
        </is>
      </c>
      <c r="D28" s="13" t="inlineStr">
        <is>
          <t>Instagram</t>
        </is>
      </c>
      <c r="E28" s="12" t="inlineStr">
        <is>
          <t>~18k</t>
        </is>
      </c>
      <c r="F28" s="13" t="inlineStr">
        <is>
          <t>Coffee science, extraction research</t>
        </is>
      </c>
      <c r="G28" s="12" t="inlineStr">
        <is>
          <t>⭐⭐⭐ Perfect</t>
        </is>
      </c>
      <c r="H28" s="13" t="inlineStr">
        <is>
          <t>@coffeeadscience / coffeeadastra.com</t>
        </is>
      </c>
      <c r="I28" s="13" t="inlineStr">
        <is>
          <t>Highly technical. Small but extremely influential in the espresso science community.</t>
        </is>
      </c>
      <c r="J28" s="13" t="inlineStr">
        <is>
          <t>Not contacted</t>
        </is>
      </c>
      <c r="K28" s="13" t="inlineStr"/>
    </row>
    <row r="29" ht="30" customHeight="1">
      <c r="A29" s="10" t="inlineStr">
        <is>
          <t>Tier 3</t>
        </is>
      </c>
      <c r="B29" s="11" t="inlineStr">
        <is>
          <t>Dritan Alsela</t>
        </is>
      </c>
      <c r="C29" s="12" t="inlineStr">
        <is>
          <t>Instagram</t>
        </is>
      </c>
      <c r="D29" s="13" t="inlineStr">
        <is>
          <t>YouTube</t>
        </is>
      </c>
      <c r="E29" s="12" t="inlineStr">
        <is>
          <t>~45k</t>
        </is>
      </c>
      <c r="F29" s="13" t="inlineStr">
        <is>
          <t>Latte art, barista competitions</t>
        </is>
      </c>
      <c r="G29" s="12" t="inlineStr">
        <is>
          <t>⭐⭐ Strong</t>
        </is>
      </c>
      <c r="H29" s="13" t="inlineStr">
        <is>
          <t>@dritanalsela</t>
        </is>
      </c>
      <c r="I29" s="13" t="inlineStr">
        <is>
          <t>European barista. Latte art focus but espresso-adjacent.</t>
        </is>
      </c>
      <c r="J29" s="13" t="inlineStr">
        <is>
          <t>Not contacted</t>
        </is>
      </c>
      <c r="K29" s="13" t="inlineStr"/>
    </row>
    <row r="30" ht="30" customHeight="1">
      <c r="A30" s="10" t="inlineStr">
        <is>
          <t>Tier 3</t>
        </is>
      </c>
      <c r="B30" s="11" t="inlineStr">
        <is>
          <t>Carles Coffee</t>
        </is>
      </c>
      <c r="C30" s="12" t="inlineStr">
        <is>
          <t>YouTube</t>
        </is>
      </c>
      <c r="D30" s="13" t="inlineStr">
        <is>
          <t>Instagram</t>
        </is>
      </c>
      <c r="E30" s="12" t="inlineStr">
        <is>
          <t>~15k</t>
        </is>
      </c>
      <c r="F30" s="13" t="inlineStr">
        <is>
          <t>Spanish-language specialty coffee</t>
        </is>
      </c>
      <c r="G30" s="12" t="inlineStr">
        <is>
          <t>⭐⭐ Strong</t>
        </is>
      </c>
      <c r="H30" s="13" t="inlineStr">
        <is>
          <t>youtube.com/@CarlesCoffee</t>
        </is>
      </c>
      <c r="I30" s="13" t="inlineStr">
        <is>
          <t>Spanish-language niche — strong if targeting Latin American or Spanish markets.</t>
        </is>
      </c>
      <c r="J30" s="13" t="inlineStr">
        <is>
          <t>Not contacted</t>
        </is>
      </c>
      <c r="K30" s="13" t="inlineStr"/>
    </row>
    <row r="31" ht="30" customHeight="1">
      <c r="A31" s="10" t="inlineStr">
        <is>
          <t>Tier 3</t>
        </is>
      </c>
      <c r="B31" s="11" t="inlineStr">
        <is>
          <t>r/espresso (Reddit)</t>
        </is>
      </c>
      <c r="C31" s="12" t="inlineStr">
        <is>
          <t>Reddit</t>
        </is>
      </c>
      <c r="D31" s="13" t="inlineStr"/>
      <c r="E31" s="12" t="inlineStr">
        <is>
          <t>~350k members</t>
        </is>
      </c>
      <c r="F31" s="13" t="inlineStr">
        <is>
          <t>Home espresso community</t>
        </is>
      </c>
      <c r="G31" s="12" t="inlineStr">
        <is>
          <t>⭐⭐⭐ Perfect</t>
        </is>
      </c>
      <c r="H31" s="13" t="inlineStr">
        <is>
          <t>reddit.com/r/espresso</t>
        </is>
      </c>
      <c r="I31" s="13" t="inlineStr">
        <is>
          <t>Largest dedicated espresso community online. Sponsored posts or mod partnership.</t>
        </is>
      </c>
      <c r="J31" s="13" t="inlineStr">
        <is>
          <t>Not contacted</t>
        </is>
      </c>
      <c r="K31" s="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4" customWidth="1" min="4" max="4"/>
    <col width="22" customWidth="1" min="5" max="5"/>
    <col width="16" customWidth="1" min="6" max="6"/>
    <col width="44" customWidth="1" min="7" max="7"/>
  </cols>
  <sheetData>
    <row r="1">
      <c r="A1" s="14" t="inlineStr">
        <is>
          <t>Phase</t>
        </is>
      </c>
      <c r="B1" s="14" t="inlineStr">
        <is>
          <t>Commission Rate</t>
        </is>
      </c>
      <c r="C1" s="14" t="inlineStr">
        <is>
          <t>Trigger (Pro Subscribers)</t>
        </is>
      </c>
      <c r="D1" s="14" t="inlineStr">
        <is>
          <t>Monthly Cost (11k referred)</t>
        </is>
      </c>
      <c r="E1" s="14" t="inlineStr">
        <is>
          <t>Gross Profit / Month*</t>
        </is>
      </c>
      <c r="F1" s="14" t="inlineStr">
        <is>
          <t>Gross Margin*</t>
        </is>
      </c>
      <c r="G1" s="14" t="inlineStr">
        <is>
          <t>Notes</t>
        </is>
      </c>
    </row>
    <row r="2" ht="28" customHeight="1">
      <c r="A2" s="15" t="inlineStr">
        <is>
          <t>1 — Launch</t>
        </is>
      </c>
      <c r="B2" s="16" t="inlineStr">
        <is>
          <t>$2.00 / month</t>
        </is>
      </c>
      <c r="C2" s="16" t="inlineStr">
        <is>
          <t>0 (Day 1)</t>
        </is>
      </c>
      <c r="D2" s="16">
        <f>$22,000</f>
        <v/>
      </c>
      <c r="E2" s="16">
        <f>$61,300</f>
        <v/>
      </c>
      <c r="F2" s="16">
        <f>67%</f>
        <v/>
      </c>
      <c r="G2" s="17" t="inlineStr">
        <is>
          <t>Aggressive rate to activate Tier 1 &amp; 2 creators</t>
        </is>
      </c>
    </row>
    <row r="3" ht="28" customHeight="1">
      <c r="A3" s="15" t="inlineStr">
        <is>
          <t>2</t>
        </is>
      </c>
      <c r="B3" s="16" t="inlineStr">
        <is>
          <t>$1.75 / month</t>
        </is>
      </c>
      <c r="C3" s="16" t="inlineStr">
        <is>
          <t>3,000</t>
        </is>
      </c>
      <c r="D3" s="16">
        <f>$19,250</f>
        <v/>
      </c>
      <c r="E3" s="16">
        <f>$64,050</f>
        <v/>
      </c>
      <c r="F3" s="16">
        <f>70%</f>
        <v/>
      </c>
      <c r="G3" s="17" t="inlineStr">
        <is>
          <t>Step down once PMF is proven</t>
        </is>
      </c>
    </row>
    <row r="4" ht="28" customHeight="1">
      <c r="A4" s="18" t="inlineStr">
        <is>
          <t>3</t>
        </is>
      </c>
      <c r="B4" s="19" t="inlineStr">
        <is>
          <t>$1.50 / month</t>
        </is>
      </c>
      <c r="C4" s="19" t="inlineStr">
        <is>
          <t>8,000</t>
        </is>
      </c>
      <c r="D4" s="19">
        <f>$16,500</f>
        <v/>
      </c>
      <c r="E4" s="19">
        <f>$66,800</f>
        <v/>
      </c>
      <c r="F4" s="19">
        <f>74%</f>
        <v/>
      </c>
      <c r="G4" s="20" t="inlineStr">
        <is>
          <t>App Store rankings start doing real work</t>
        </is>
      </c>
    </row>
    <row r="5" ht="28" customHeight="1">
      <c r="A5" s="18" t="inlineStr">
        <is>
          <t>4</t>
        </is>
      </c>
      <c r="B5" s="19" t="inlineStr">
        <is>
          <t>$1.25 / month</t>
        </is>
      </c>
      <c r="C5" s="19" t="inlineStr">
        <is>
          <t>15,000</t>
        </is>
      </c>
      <c r="D5" s="19">
        <f>$13,750</f>
        <v/>
      </c>
      <c r="E5" s="19">
        <f>$69,550</f>
        <v/>
      </c>
      <c r="F5" s="19">
        <f>76%</f>
        <v/>
      </c>
      <c r="G5" s="20" t="inlineStr">
        <is>
          <t>Approaching ceiling of niche TAM</t>
        </is>
      </c>
    </row>
    <row r="6" ht="28" customHeight="1">
      <c r="A6" s="21" t="inlineStr">
        <is>
          <t>5 — Mature</t>
        </is>
      </c>
      <c r="B6" s="22" t="inlineStr">
        <is>
          <t>$1.00 / month</t>
        </is>
      </c>
      <c r="C6" s="22" t="inlineStr">
        <is>
          <t>25,000</t>
        </is>
      </c>
      <c r="D6" s="22">
        <f>$11,000</f>
        <v/>
      </c>
      <c r="E6" s="22">
        <f>$72,300</f>
        <v/>
      </c>
      <c r="F6" s="22">
        <f>79%</f>
        <v/>
      </c>
      <c r="G6" s="23" t="inlineStr">
        <is>
          <t>Self-sustaining; commission is retention incentive, not growth lever</t>
        </is>
      </c>
    </row>
    <row r="8">
      <c r="A8" s="24" t="inlineStr">
        <is>
          <t>* Assumes 20k Pro subscribers, 55% referral-driven (11k referred), $4.99/month subscription, 2.9%+$0.30 Stripe fees, 20 brews/user/month API cost.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2026-06-08T19:17:44Z</dcterms:created>
  <dcterms:modified xsi:type="dcterms:W3CDTF">2026-06-08T19:17:44Z</dcterms:modified>
</cp:coreProperties>
</file>